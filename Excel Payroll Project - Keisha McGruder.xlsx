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de\Documents\"/>
    </mc:Choice>
  </mc:AlternateContent>
  <xr:revisionPtr revIDLastSave="0" documentId="13_ncr:1_{F6633E12-AD36-48D1-95D8-A23D3FC4F2CD}" xr6:coauthVersionLast="47" xr6:coauthVersionMax="47" xr10:uidLastSave="{00000000-0000-0000-0000-000000000000}"/>
  <bookViews>
    <workbookView xWindow="-108" yWindow="-108" windowWidth="23256" windowHeight="12456" xr2:uid="{7D183D55-5934-4241-9B36-6AB8063D7508}"/>
  </bookViews>
  <sheets>
    <sheet name="Payro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Y3" i="1"/>
  <c r="Z3" i="1" s="1"/>
  <c r="AA3" i="1" s="1"/>
  <c r="AB3" i="1" s="1"/>
  <c r="T3" i="1"/>
  <c r="U3" i="1" s="1"/>
  <c r="V3" i="1" s="1"/>
  <c r="W3" i="1" s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4" i="1"/>
  <c r="O3" i="1"/>
  <c r="P3" i="1" s="1"/>
  <c r="Q3" i="1" s="1"/>
  <c r="R3" i="1" s="1"/>
  <c r="M19" i="1"/>
  <c r="W19" i="1" s="1"/>
  <c r="AB19" i="1" s="1"/>
  <c r="M18" i="1"/>
  <c r="W18" i="1" s="1"/>
  <c r="M17" i="1"/>
  <c r="W17" i="1" s="1"/>
  <c r="M16" i="1"/>
  <c r="W16" i="1" s="1"/>
  <c r="M15" i="1"/>
  <c r="W15" i="1" s="1"/>
  <c r="M14" i="1"/>
  <c r="W14" i="1" s="1"/>
  <c r="M13" i="1"/>
  <c r="W13" i="1" s="1"/>
  <c r="M12" i="1"/>
  <c r="W12" i="1" s="1"/>
  <c r="M11" i="1"/>
  <c r="W11" i="1" s="1"/>
  <c r="M10" i="1"/>
  <c r="W10" i="1" s="1"/>
  <c r="M9" i="1"/>
  <c r="W9" i="1" s="1"/>
  <c r="M8" i="1"/>
  <c r="W8" i="1" s="1"/>
  <c r="M7" i="1"/>
  <c r="W7" i="1" s="1"/>
  <c r="M6" i="1"/>
  <c r="W6" i="1" s="1"/>
  <c r="M5" i="1"/>
  <c r="W5" i="1" s="1"/>
  <c r="M4" i="1"/>
  <c r="W4" i="1" s="1"/>
  <c r="L19" i="1"/>
  <c r="V19" i="1" s="1"/>
  <c r="L18" i="1"/>
  <c r="V18" i="1" s="1"/>
  <c r="L17" i="1"/>
  <c r="V17" i="1" s="1"/>
  <c r="L16" i="1"/>
  <c r="V16" i="1" s="1"/>
  <c r="L15" i="1"/>
  <c r="V15" i="1" s="1"/>
  <c r="L14" i="1"/>
  <c r="V14" i="1" s="1"/>
  <c r="L13" i="1"/>
  <c r="V13" i="1" s="1"/>
  <c r="L12" i="1"/>
  <c r="V12" i="1" s="1"/>
  <c r="L11" i="1"/>
  <c r="V11" i="1" s="1"/>
  <c r="L10" i="1"/>
  <c r="V10" i="1" s="1"/>
  <c r="L9" i="1"/>
  <c r="V9" i="1" s="1"/>
  <c r="L8" i="1"/>
  <c r="V8" i="1" s="1"/>
  <c r="L7" i="1"/>
  <c r="V7" i="1" s="1"/>
  <c r="L6" i="1"/>
  <c r="V6" i="1" s="1"/>
  <c r="L5" i="1"/>
  <c r="V5" i="1" s="1"/>
  <c r="L4" i="1"/>
  <c r="V4" i="1" s="1"/>
  <c r="J4" i="1"/>
  <c r="T4" i="1" s="1"/>
  <c r="K19" i="1"/>
  <c r="U19" i="1" s="1"/>
  <c r="K18" i="1"/>
  <c r="U18" i="1" s="1"/>
  <c r="K17" i="1"/>
  <c r="U17" i="1" s="1"/>
  <c r="K16" i="1"/>
  <c r="U16" i="1" s="1"/>
  <c r="Z16" i="1" s="1"/>
  <c r="K15" i="1"/>
  <c r="U15" i="1" s="1"/>
  <c r="K14" i="1"/>
  <c r="U14" i="1" s="1"/>
  <c r="K13" i="1"/>
  <c r="U13" i="1" s="1"/>
  <c r="K12" i="1"/>
  <c r="U12" i="1" s="1"/>
  <c r="K11" i="1"/>
  <c r="U11" i="1" s="1"/>
  <c r="K10" i="1"/>
  <c r="U10" i="1" s="1"/>
  <c r="K9" i="1"/>
  <c r="U9" i="1" s="1"/>
  <c r="K8" i="1"/>
  <c r="U8" i="1" s="1"/>
  <c r="K7" i="1"/>
  <c r="U7" i="1" s="1"/>
  <c r="K6" i="1"/>
  <c r="U6" i="1" s="1"/>
  <c r="K5" i="1"/>
  <c r="U5" i="1" s="1"/>
  <c r="K4" i="1"/>
  <c r="U4" i="1" s="1"/>
  <c r="I4" i="1"/>
  <c r="S4" i="1" s="1"/>
  <c r="J19" i="1"/>
  <c r="T19" i="1" s="1"/>
  <c r="J18" i="1"/>
  <c r="T18" i="1" s="1"/>
  <c r="J17" i="1"/>
  <c r="T17" i="1" s="1"/>
  <c r="J16" i="1"/>
  <c r="T16" i="1" s="1"/>
  <c r="J15" i="1"/>
  <c r="T15" i="1" s="1"/>
  <c r="J14" i="1"/>
  <c r="T14" i="1" s="1"/>
  <c r="J13" i="1"/>
  <c r="T13" i="1" s="1"/>
  <c r="J12" i="1"/>
  <c r="T12" i="1" s="1"/>
  <c r="J11" i="1"/>
  <c r="T11" i="1" s="1"/>
  <c r="J10" i="1"/>
  <c r="T10" i="1" s="1"/>
  <c r="J9" i="1"/>
  <c r="T9" i="1" s="1"/>
  <c r="J8" i="1"/>
  <c r="T8" i="1" s="1"/>
  <c r="J7" i="1"/>
  <c r="T7" i="1" s="1"/>
  <c r="J6" i="1"/>
  <c r="T6" i="1" s="1"/>
  <c r="J5" i="1"/>
  <c r="T5" i="1" s="1"/>
  <c r="J3" i="1"/>
  <c r="K3" i="1" s="1"/>
  <c r="L3" i="1" s="1"/>
  <c r="M3" i="1" s="1"/>
  <c r="E3" i="1"/>
  <c r="F3" i="1" s="1"/>
  <c r="G3" i="1" s="1"/>
  <c r="H3" i="1" s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D26" i="1"/>
  <c r="D23" i="1"/>
  <c r="D25" i="1"/>
  <c r="D24" i="1"/>
  <c r="C24" i="1"/>
  <c r="C23" i="1"/>
  <c r="Z9" i="1" l="1"/>
  <c r="Z10" i="1"/>
  <c r="AB9" i="1"/>
  <c r="AA5" i="1"/>
  <c r="Z5" i="1"/>
  <c r="Y6" i="1"/>
  <c r="Y8" i="1"/>
  <c r="R24" i="1"/>
  <c r="Y19" i="1"/>
  <c r="Y5" i="1"/>
  <c r="AB15" i="1"/>
  <c r="Z15" i="1"/>
  <c r="Y7" i="1"/>
  <c r="AB10" i="1"/>
  <c r="AB14" i="1"/>
  <c r="AA15" i="1"/>
  <c r="AA14" i="1"/>
  <c r="U24" i="1"/>
  <c r="W24" i="1"/>
  <c r="Y18" i="1"/>
  <c r="Z19" i="1"/>
  <c r="AB13" i="1"/>
  <c r="AA8" i="1"/>
  <c r="V24" i="1"/>
  <c r="Y17" i="1"/>
  <c r="AB18" i="1"/>
  <c r="AA13" i="1"/>
  <c r="AA9" i="1"/>
  <c r="Y16" i="1"/>
  <c r="AA18" i="1"/>
  <c r="Z13" i="1"/>
  <c r="AA10" i="1"/>
  <c r="Y15" i="1"/>
  <c r="Z18" i="1"/>
  <c r="AB12" i="1"/>
  <c r="S23" i="1"/>
  <c r="Y14" i="1"/>
  <c r="AB17" i="1"/>
  <c r="AA12" i="1"/>
  <c r="AA17" i="1"/>
  <c r="AB16" i="1"/>
  <c r="Z6" i="1"/>
  <c r="AB4" i="1"/>
  <c r="AB5" i="1"/>
  <c r="Z8" i="1"/>
  <c r="T23" i="1"/>
  <c r="Y4" i="1"/>
  <c r="T26" i="1"/>
  <c r="T25" i="1"/>
  <c r="P24" i="1"/>
  <c r="AA7" i="1"/>
  <c r="Q23" i="1"/>
  <c r="O24" i="1"/>
  <c r="Z7" i="1"/>
  <c r="P23" i="1"/>
  <c r="Y13" i="1"/>
  <c r="Y12" i="1"/>
  <c r="Z17" i="1"/>
  <c r="AB11" i="1"/>
  <c r="AA6" i="1"/>
  <c r="AB7" i="1"/>
  <c r="R23" i="1"/>
  <c r="R26" i="1"/>
  <c r="Y10" i="1"/>
  <c r="AA16" i="1"/>
  <c r="Z11" i="1"/>
  <c r="Z12" i="1"/>
  <c r="O23" i="1"/>
  <c r="Y9" i="1"/>
  <c r="Q25" i="1"/>
  <c r="T24" i="1"/>
  <c r="AA11" i="1"/>
  <c r="P25" i="1"/>
  <c r="W25" i="1"/>
  <c r="Q24" i="1"/>
  <c r="U25" i="1"/>
  <c r="U23" i="1"/>
  <c r="U26" i="1"/>
  <c r="V23" i="1"/>
  <c r="V25" i="1"/>
  <c r="V26" i="1"/>
  <c r="O25" i="1"/>
  <c r="W26" i="1"/>
  <c r="AA4" i="1"/>
  <c r="W23" i="1"/>
  <c r="AA19" i="1"/>
  <c r="Z14" i="1"/>
  <c r="AB8" i="1"/>
  <c r="S24" i="1"/>
  <c r="S25" i="1"/>
  <c r="S26" i="1"/>
  <c r="Z4" i="1"/>
  <c r="Q26" i="1"/>
  <c r="P26" i="1"/>
  <c r="O26" i="1"/>
  <c r="R25" i="1"/>
  <c r="Y11" i="1"/>
  <c r="AB6" i="1"/>
  <c r="X5" i="1"/>
  <c r="X14" i="1"/>
  <c r="X12" i="1"/>
  <c r="X13" i="1"/>
  <c r="X7" i="1"/>
  <c r="X6" i="1"/>
  <c r="X11" i="1"/>
  <c r="X15" i="1"/>
  <c r="X18" i="1"/>
  <c r="X4" i="1"/>
  <c r="X8" i="1"/>
  <c r="X9" i="1"/>
  <c r="X16" i="1"/>
  <c r="X17" i="1"/>
  <c r="X19" i="1"/>
  <c r="X10" i="1"/>
  <c r="N26" i="1"/>
  <c r="N25" i="1"/>
  <c r="N24" i="1"/>
  <c r="N23" i="1"/>
  <c r="AD10" i="1" l="1"/>
  <c r="AD15" i="1"/>
  <c r="AD18" i="1"/>
  <c r="AD7" i="1"/>
  <c r="AD13" i="1"/>
  <c r="AD6" i="1"/>
  <c r="AD12" i="1"/>
  <c r="AD5" i="1"/>
  <c r="AB24" i="1"/>
  <c r="AD16" i="1"/>
  <c r="AB26" i="1"/>
  <c r="AD14" i="1"/>
  <c r="AB25" i="1"/>
  <c r="AD19" i="1"/>
  <c r="AD9" i="1"/>
  <c r="Z25" i="1"/>
  <c r="Z26" i="1"/>
  <c r="Z23" i="1"/>
  <c r="Z24" i="1"/>
  <c r="Y26" i="1"/>
  <c r="Y23" i="1"/>
  <c r="Y24" i="1"/>
  <c r="Y25" i="1"/>
  <c r="AD17" i="1"/>
  <c r="AD8" i="1"/>
  <c r="AA25" i="1"/>
  <c r="AA26" i="1"/>
  <c r="AA23" i="1"/>
  <c r="AA24" i="1"/>
  <c r="AD4" i="1"/>
  <c r="AB23" i="1"/>
  <c r="AD11" i="1"/>
  <c r="X23" i="1"/>
  <c r="X24" i="1"/>
  <c r="X25" i="1"/>
  <c r="X26" i="1"/>
  <c r="AD26" i="1" l="1"/>
  <c r="AD25" i="1"/>
  <c r="AD24" i="1"/>
  <c r="AD23" i="1"/>
</calcChain>
</file>

<file path=xl/sharedStrings.xml><?xml version="1.0" encoding="utf-8"?>
<sst xmlns="http://schemas.openxmlformats.org/spreadsheetml/2006/main" count="47" uniqueCount="46">
  <si>
    <t>Keisha McGruder</t>
  </si>
  <si>
    <t>Last Name</t>
  </si>
  <si>
    <t>First Name</t>
  </si>
  <si>
    <t>Hourly Wage</t>
  </si>
  <si>
    <t>Simmons</t>
  </si>
  <si>
    <t>Hudson</t>
  </si>
  <si>
    <t>Miller</t>
  </si>
  <si>
    <t>Smith</t>
  </si>
  <si>
    <t>Montgomery</t>
  </si>
  <si>
    <t>Johnson</t>
  </si>
  <si>
    <t>Colvin</t>
  </si>
  <si>
    <t>Washington</t>
  </si>
  <si>
    <t>Young</t>
  </si>
  <si>
    <t>Oliver</t>
  </si>
  <si>
    <t>Howard</t>
  </si>
  <si>
    <t>Guest</t>
  </si>
  <si>
    <t>Springfield</t>
  </si>
  <si>
    <t>Bradford</t>
  </si>
  <si>
    <t>White</t>
  </si>
  <si>
    <t>Blackburn</t>
  </si>
  <si>
    <t>Tiffany</t>
  </si>
  <si>
    <t>Keshia</t>
  </si>
  <si>
    <t>Michael</t>
  </si>
  <si>
    <t>Ayanna</t>
  </si>
  <si>
    <t>Connell</t>
  </si>
  <si>
    <t>Kaaliyah</t>
  </si>
  <si>
    <t>Kmarion</t>
  </si>
  <si>
    <t>Oreana</t>
  </si>
  <si>
    <t>Eunique</t>
  </si>
  <si>
    <t>Daniel</t>
  </si>
  <si>
    <t>Blake</t>
  </si>
  <si>
    <t>Johnnie</t>
  </si>
  <si>
    <t>Darrell</t>
  </si>
  <si>
    <t>Mary</t>
  </si>
  <si>
    <t>Beverly</t>
  </si>
  <si>
    <t>Terry</t>
  </si>
  <si>
    <t>Max</t>
  </si>
  <si>
    <t>Min</t>
  </si>
  <si>
    <t>Average</t>
  </si>
  <si>
    <t>Total</t>
  </si>
  <si>
    <t>House Worked Pay</t>
  </si>
  <si>
    <t>ABC Home Healthcare Payroll</t>
  </si>
  <si>
    <t>Overtime Hours</t>
  </si>
  <si>
    <t>Pay</t>
  </si>
  <si>
    <t>Overtime Bonus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</si>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</sst>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0" fontId="0" fillId="4" borderId="0" xfId="0" applyFill="1"/>
    <xf numFmtId="0" fontId="0" fillId="5" borderId="0" xfId="0" applyFill="1"/>
    <xf numFmtId="44" fontId="0" fillId="6" borderId="0" xfId="0" applyNumberFormat="1" applyFill="1"/>
    <xf numFmtId="44" fontId="0" fillId="3" borderId="0" xfId="0" applyNumberFormat="1" applyFill="1"/>
    <xf numFmtId="44" fontId="0" fillId="2" borderId="0" xfId="0" applyNumberFormat="1" applyFill="1"/>
    <xf numFmtId="44" fontId="0" fillId="7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6AD-4DE2-4476-8AEB-FD8B7E348734}">
  <dimension ref="A1:AD26"/>
  <sheetViews>
    <sheetView tabSelected="1" workbookViewId="0">
      <selection activeCell="AD3" sqref="AD3"/>
    </sheetView>
  </sheetViews>
  <sheetFormatPr defaultRowHeight="14.4" x14ac:dyDescent="0.3"/>
  <cols>
    <col min="1" max="1" width="25.109375" bestFit="1" customWidth="1"/>
    <col min="2" max="2" width="18.33203125" customWidth="1"/>
    <col min="3" max="3" width="14.88671875" bestFit="1" customWidth="1"/>
    <col min="4" max="4" width="16.109375" bestFit="1" customWidth="1"/>
    <col min="5" max="13" width="16.109375" customWidth="1"/>
    <col min="14" max="18" width="14.6640625" customWidth="1"/>
    <col min="19" max="19" width="13.77734375" bestFit="1" customWidth="1"/>
    <col min="20" max="23" width="13.77734375" customWidth="1"/>
    <col min="24" max="28" width="11.21875" bestFit="1" customWidth="1"/>
    <col min="30" max="30" width="11.21875" bestFit="1" customWidth="1"/>
  </cols>
  <sheetData>
    <row r="1" spans="1:30" x14ac:dyDescent="0.3">
      <c r="A1" t="s">
        <v>41</v>
      </c>
      <c r="C1" t="s">
        <v>0</v>
      </c>
    </row>
    <row r="2" spans="1:30" x14ac:dyDescent="0.3">
      <c r="D2" t="s">
        <v>40</v>
      </c>
      <c r="I2" t="s">
        <v>42</v>
      </c>
      <c r="N2" t="s">
        <v>43</v>
      </c>
      <c r="S2" t="s">
        <v>44</v>
      </c>
      <c r="X2" t="s">
        <v>39</v>
      </c>
      <c r="AD2" t="s">
        <v>45</v>
      </c>
    </row>
    <row r="3" spans="1:30" x14ac:dyDescent="0.3">
      <c r="A3" t="s">
        <v>1</v>
      </c>
      <c r="B3" t="s">
        <v>2</v>
      </c>
      <c r="C3" t="s">
        <v>3</v>
      </c>
      <c r="D3" s="2">
        <v>45658</v>
      </c>
      <c r="E3" s="2">
        <f>D3+7</f>
        <v>45665</v>
      </c>
      <c r="F3" s="2">
        <f t="shared" ref="F3:H3" si="0">E3+7</f>
        <v>45672</v>
      </c>
      <c r="G3" s="2">
        <f t="shared" si="0"/>
        <v>45679</v>
      </c>
      <c r="H3" s="2">
        <f t="shared" si="0"/>
        <v>45686</v>
      </c>
      <c r="I3" s="2">
        <v>45658</v>
      </c>
      <c r="J3" s="2">
        <f>I3+7</f>
        <v>45665</v>
      </c>
      <c r="K3" s="2">
        <f t="shared" ref="K3:M3" si="1">J3+7</f>
        <v>45672</v>
      </c>
      <c r="L3" s="2">
        <f t="shared" si="1"/>
        <v>45679</v>
      </c>
      <c r="M3" s="2">
        <f t="shared" si="1"/>
        <v>45686</v>
      </c>
      <c r="N3" s="2">
        <v>45658</v>
      </c>
      <c r="O3" s="2">
        <f>N3+7</f>
        <v>45665</v>
      </c>
      <c r="P3" s="2">
        <f t="shared" ref="P3:R3" si="2">O3+7</f>
        <v>45672</v>
      </c>
      <c r="Q3" s="2">
        <f t="shared" si="2"/>
        <v>45679</v>
      </c>
      <c r="R3" s="2">
        <f t="shared" si="2"/>
        <v>45686</v>
      </c>
      <c r="S3" s="2">
        <v>45658</v>
      </c>
      <c r="T3" s="2">
        <f>S3+7</f>
        <v>45665</v>
      </c>
      <c r="U3" s="2">
        <f t="shared" ref="U3:W3" si="3">T3+7</f>
        <v>45672</v>
      </c>
      <c r="V3" s="2">
        <f t="shared" si="3"/>
        <v>45679</v>
      </c>
      <c r="W3" s="2">
        <f t="shared" si="3"/>
        <v>45686</v>
      </c>
      <c r="X3" s="2">
        <v>45658</v>
      </c>
      <c r="Y3" s="2">
        <f>X3+7</f>
        <v>45665</v>
      </c>
      <c r="Z3" s="2">
        <f t="shared" ref="Z3:AB3" si="4">Y3+7</f>
        <v>45672</v>
      </c>
      <c r="AA3" s="2">
        <f t="shared" si="4"/>
        <v>45679</v>
      </c>
      <c r="AB3" s="2">
        <f t="shared" si="4"/>
        <v>45686</v>
      </c>
    </row>
    <row r="4" spans="1:30" ht="15.6" x14ac:dyDescent="0.3">
      <c r="A4" s="1" t="s">
        <v>4</v>
      </c>
      <c r="B4" t="s">
        <v>20</v>
      </c>
      <c r="C4" s="3">
        <v>17.100000000000001</v>
      </c>
      <c r="D4" s="7">
        <v>38</v>
      </c>
      <c r="E4" s="7">
        <v>46</v>
      </c>
      <c r="F4" s="7">
        <v>30</v>
      </c>
      <c r="G4" s="7">
        <v>39</v>
      </c>
      <c r="H4" s="7">
        <v>42</v>
      </c>
      <c r="I4" s="6">
        <f>IF(D4&gt;40,D4-40,0)</f>
        <v>0</v>
      </c>
      <c r="J4" s="6">
        <f>IF(E4&gt;40,E4-40,0)</f>
        <v>6</v>
      </c>
      <c r="K4" s="6">
        <f>IF(F4&gt;40,F4-40,0)</f>
        <v>0</v>
      </c>
      <c r="L4" s="6">
        <f>IF(G4&gt;40,G4-40,0)</f>
        <v>0</v>
      </c>
      <c r="M4" s="6">
        <f>IF(H4&gt;40,H4-40,0)</f>
        <v>2</v>
      </c>
      <c r="N4" s="8">
        <f>$C4*D4</f>
        <v>649.80000000000007</v>
      </c>
      <c r="O4" s="8">
        <f>$C4*E4</f>
        <v>786.6</v>
      </c>
      <c r="P4" s="8">
        <f t="shared" ref="P4:R19" si="5">$C4*F4</f>
        <v>513</v>
      </c>
      <c r="Q4" s="8">
        <f t="shared" si="5"/>
        <v>666.90000000000009</v>
      </c>
      <c r="R4" s="8">
        <f t="shared" si="5"/>
        <v>718.2</v>
      </c>
      <c r="S4" s="9">
        <f>0.5*$C4*I4</f>
        <v>0</v>
      </c>
      <c r="T4" s="9">
        <f t="shared" ref="T4:W4" si="6">0.5*$C4*J4</f>
        <v>51.300000000000004</v>
      </c>
      <c r="U4" s="9">
        <f t="shared" si="6"/>
        <v>0</v>
      </c>
      <c r="V4" s="9">
        <f t="shared" si="6"/>
        <v>0</v>
      </c>
      <c r="W4" s="9">
        <f t="shared" si="6"/>
        <v>17.100000000000001</v>
      </c>
      <c r="X4" s="10">
        <f>N4+S4</f>
        <v>649.80000000000007</v>
      </c>
      <c r="Y4" s="10">
        <f>O4+T4</f>
        <v>837.9</v>
      </c>
      <c r="Z4" s="10">
        <f t="shared" ref="Z4:AB19" si="7">P4+U4</f>
        <v>513</v>
      </c>
      <c r="AA4" s="10">
        <f t="shared" si="7"/>
        <v>666.90000000000009</v>
      </c>
      <c r="AB4" s="10">
        <f t="shared" si="7"/>
        <v>735.30000000000007</v>
      </c>
      <c r="AD4" s="11">
        <f>SUM(X4:AB4)</f>
        <v>3402.9000000000005</v>
      </c>
    </row>
    <row r="5" spans="1:30" x14ac:dyDescent="0.3">
      <c r="A5" t="s">
        <v>5</v>
      </c>
      <c r="B5" t="s">
        <v>21</v>
      </c>
      <c r="C5" s="3">
        <v>12</v>
      </c>
      <c r="D5" s="7">
        <v>43</v>
      </c>
      <c r="E5" s="7">
        <v>44</v>
      </c>
      <c r="F5" s="7">
        <v>37</v>
      </c>
      <c r="G5" s="7">
        <v>40</v>
      </c>
      <c r="H5" s="7">
        <v>41</v>
      </c>
      <c r="I5" s="6">
        <f>IF(D5&gt;40,D5-40,0)</f>
        <v>3</v>
      </c>
      <c r="J5" s="6">
        <f>IF(E5&gt;40,E5-40,0)</f>
        <v>4</v>
      </c>
      <c r="K5" s="6">
        <f>IF(F5&gt;40,F5-40,0)</f>
        <v>0</v>
      </c>
      <c r="L5" s="6">
        <f>IF(G5&gt;40,G5-40,0)</f>
        <v>0</v>
      </c>
      <c r="M5" s="6">
        <f>IF(H5&gt;40,H5-40,0)</f>
        <v>1</v>
      </c>
      <c r="N5" s="8">
        <f>$C5*D5</f>
        <v>516</v>
      </c>
      <c r="O5" s="8">
        <f t="shared" ref="O5:O19" si="8">$C5*E5</f>
        <v>528</v>
      </c>
      <c r="P5" s="8">
        <f t="shared" si="5"/>
        <v>444</v>
      </c>
      <c r="Q5" s="8">
        <f t="shared" si="5"/>
        <v>480</v>
      </c>
      <c r="R5" s="8">
        <f t="shared" si="5"/>
        <v>492</v>
      </c>
      <c r="S5" s="9">
        <f>0.5*C5*I5</f>
        <v>18</v>
      </c>
      <c r="T5" s="9">
        <f>0.5*D5*J5</f>
        <v>86</v>
      </c>
      <c r="U5" s="9">
        <f t="shared" ref="U5:W19" si="9">0.5*E5*K5</f>
        <v>0</v>
      </c>
      <c r="V5" s="9">
        <f t="shared" si="9"/>
        <v>0</v>
      </c>
      <c r="W5" s="9">
        <f t="shared" si="9"/>
        <v>20</v>
      </c>
      <c r="X5" s="10">
        <f>N5+S5</f>
        <v>534</v>
      </c>
      <c r="Y5" s="10">
        <f>O5+T5</f>
        <v>614</v>
      </c>
      <c r="Z5" s="10">
        <f t="shared" si="7"/>
        <v>444</v>
      </c>
      <c r="AA5" s="10">
        <f t="shared" si="7"/>
        <v>480</v>
      </c>
      <c r="AB5" s="10">
        <f t="shared" si="7"/>
        <v>512</v>
      </c>
      <c r="AD5" s="11">
        <f t="shared" ref="AD5:AD19" si="10">SUM(X5:AB5)</f>
        <v>2584</v>
      </c>
    </row>
    <row r="6" spans="1:30" x14ac:dyDescent="0.3">
      <c r="A6" t="s">
        <v>6</v>
      </c>
      <c r="B6" t="s">
        <v>22</v>
      </c>
      <c r="C6" s="3">
        <v>15.35</v>
      </c>
      <c r="D6" s="7">
        <v>37</v>
      </c>
      <c r="E6" s="7">
        <v>18</v>
      </c>
      <c r="F6" s="7">
        <v>20</v>
      </c>
      <c r="G6" s="7">
        <v>33</v>
      </c>
      <c r="H6" s="7">
        <v>40</v>
      </c>
      <c r="I6" s="6">
        <f>IF(D6&gt;40,D6-40,0)</f>
        <v>0</v>
      </c>
      <c r="J6" s="6">
        <f>IF(E6&gt;40,E6-40,0)</f>
        <v>0</v>
      </c>
      <c r="K6" s="6">
        <f>IF(F6&gt;40,F6-40,0)</f>
        <v>0</v>
      </c>
      <c r="L6" s="6">
        <f>IF(G6&gt;40,G6-40,0)</f>
        <v>0</v>
      </c>
      <c r="M6" s="6">
        <f>IF(H6&gt;40,H6-40,0)</f>
        <v>0</v>
      </c>
      <c r="N6" s="8">
        <f>$C6*D6</f>
        <v>567.94999999999993</v>
      </c>
      <c r="O6" s="8">
        <f t="shared" si="8"/>
        <v>276.3</v>
      </c>
      <c r="P6" s="8">
        <f t="shared" si="5"/>
        <v>307</v>
      </c>
      <c r="Q6" s="8">
        <f t="shared" si="5"/>
        <v>506.55</v>
      </c>
      <c r="R6" s="8">
        <f t="shared" si="5"/>
        <v>614</v>
      </c>
      <c r="S6" s="9">
        <f>0.5*C6*I6</f>
        <v>0</v>
      </c>
      <c r="T6" s="9">
        <f>0.5*D6*J6</f>
        <v>0</v>
      </c>
      <c r="U6" s="9">
        <f t="shared" si="9"/>
        <v>0</v>
      </c>
      <c r="V6" s="9">
        <f t="shared" si="9"/>
        <v>0</v>
      </c>
      <c r="W6" s="9">
        <f t="shared" si="9"/>
        <v>0</v>
      </c>
      <c r="X6" s="10">
        <f>N6+S6</f>
        <v>567.94999999999993</v>
      </c>
      <c r="Y6" s="10">
        <f>O6+T6</f>
        <v>276.3</v>
      </c>
      <c r="Z6" s="10">
        <f t="shared" si="7"/>
        <v>307</v>
      </c>
      <c r="AA6" s="10">
        <f t="shared" si="7"/>
        <v>506.55</v>
      </c>
      <c r="AB6" s="10">
        <f t="shared" si="7"/>
        <v>614</v>
      </c>
      <c r="AD6" s="11">
        <f t="shared" si="10"/>
        <v>2271.8000000000002</v>
      </c>
    </row>
    <row r="7" spans="1:30" x14ac:dyDescent="0.3">
      <c r="A7" t="s">
        <v>7</v>
      </c>
      <c r="B7" t="s">
        <v>23</v>
      </c>
      <c r="C7" s="3">
        <v>23.5</v>
      </c>
      <c r="D7" s="7">
        <v>26</v>
      </c>
      <c r="E7" s="7">
        <v>39</v>
      </c>
      <c r="F7" s="7">
        <v>42</v>
      </c>
      <c r="G7" s="7">
        <v>40</v>
      </c>
      <c r="H7" s="7">
        <v>42</v>
      </c>
      <c r="I7" s="6">
        <f>IF(D7&gt;40,D7-40,0)</f>
        <v>0</v>
      </c>
      <c r="J7" s="6">
        <f>IF(E7&gt;40,E7-40,0)</f>
        <v>0</v>
      </c>
      <c r="K7" s="6">
        <f>IF(F7&gt;40,F7-40,0)</f>
        <v>2</v>
      </c>
      <c r="L7" s="6">
        <f>IF(G7&gt;40,G7-40,0)</f>
        <v>0</v>
      </c>
      <c r="M7" s="6">
        <f>IF(H7&gt;40,H7-40,0)</f>
        <v>2</v>
      </c>
      <c r="N7" s="8">
        <f>$C7*D7</f>
        <v>611</v>
      </c>
      <c r="O7" s="8">
        <f t="shared" si="8"/>
        <v>916.5</v>
      </c>
      <c r="P7" s="8">
        <f t="shared" si="5"/>
        <v>987</v>
      </c>
      <c r="Q7" s="8">
        <f t="shared" si="5"/>
        <v>940</v>
      </c>
      <c r="R7" s="8">
        <f t="shared" si="5"/>
        <v>987</v>
      </c>
      <c r="S7" s="9">
        <f>0.5*C7*I7</f>
        <v>0</v>
      </c>
      <c r="T7" s="9">
        <f>0.5*D7*J7</f>
        <v>0</v>
      </c>
      <c r="U7" s="9">
        <f t="shared" si="9"/>
        <v>39</v>
      </c>
      <c r="V7" s="9">
        <f t="shared" si="9"/>
        <v>0</v>
      </c>
      <c r="W7" s="9">
        <f t="shared" si="9"/>
        <v>40</v>
      </c>
      <c r="X7" s="10">
        <f>N7+S7</f>
        <v>611</v>
      </c>
      <c r="Y7" s="10">
        <f>O7+T7</f>
        <v>916.5</v>
      </c>
      <c r="Z7" s="10">
        <f t="shared" si="7"/>
        <v>1026</v>
      </c>
      <c r="AA7" s="10">
        <f t="shared" si="7"/>
        <v>940</v>
      </c>
      <c r="AB7" s="10">
        <f t="shared" si="7"/>
        <v>1027</v>
      </c>
      <c r="AD7" s="11">
        <f t="shared" si="10"/>
        <v>4520.5</v>
      </c>
    </row>
    <row r="8" spans="1:30" x14ac:dyDescent="0.3">
      <c r="A8" t="s">
        <v>8</v>
      </c>
      <c r="B8" t="s">
        <v>24</v>
      </c>
      <c r="C8" s="3">
        <v>18.100000000000001</v>
      </c>
      <c r="D8" s="7">
        <v>45</v>
      </c>
      <c r="E8" s="7">
        <v>20</v>
      </c>
      <c r="F8" s="7">
        <v>51</v>
      </c>
      <c r="G8" s="7">
        <v>42</v>
      </c>
      <c r="H8" s="7">
        <v>45</v>
      </c>
      <c r="I8" s="6">
        <f>IF(D8&gt;40,D8-40,0)</f>
        <v>5</v>
      </c>
      <c r="J8" s="6">
        <f>IF(E8&gt;40,E8-40,0)</f>
        <v>0</v>
      </c>
      <c r="K8" s="6">
        <f>IF(F8&gt;40,F8-40,0)</f>
        <v>11</v>
      </c>
      <c r="L8" s="6">
        <f>IF(G8&gt;40,G8-40,0)</f>
        <v>2</v>
      </c>
      <c r="M8" s="6">
        <f>IF(H8&gt;40,H8-40,0)</f>
        <v>5</v>
      </c>
      <c r="N8" s="8">
        <f>$C8*D8</f>
        <v>814.50000000000011</v>
      </c>
      <c r="O8" s="8">
        <f t="shared" si="8"/>
        <v>362</v>
      </c>
      <c r="P8" s="8">
        <f t="shared" si="5"/>
        <v>923.1</v>
      </c>
      <c r="Q8" s="8">
        <f t="shared" si="5"/>
        <v>760.2</v>
      </c>
      <c r="R8" s="8">
        <f t="shared" si="5"/>
        <v>814.50000000000011</v>
      </c>
      <c r="S8" s="9">
        <f>0.5*C8*I8</f>
        <v>45.25</v>
      </c>
      <c r="T8" s="9">
        <f>0.5*D8*J8</f>
        <v>0</v>
      </c>
      <c r="U8" s="9">
        <f t="shared" si="9"/>
        <v>110</v>
      </c>
      <c r="V8" s="9">
        <f t="shared" si="9"/>
        <v>51</v>
      </c>
      <c r="W8" s="9">
        <f t="shared" si="9"/>
        <v>105</v>
      </c>
      <c r="X8" s="10">
        <f>N8+S8</f>
        <v>859.75000000000011</v>
      </c>
      <c r="Y8" s="10">
        <f>O8+T8</f>
        <v>362</v>
      </c>
      <c r="Z8" s="10">
        <f t="shared" si="7"/>
        <v>1033.0999999999999</v>
      </c>
      <c r="AA8" s="10">
        <f t="shared" si="7"/>
        <v>811.2</v>
      </c>
      <c r="AB8" s="10">
        <f t="shared" si="7"/>
        <v>919.50000000000011</v>
      </c>
      <c r="AD8" s="11">
        <f t="shared" si="10"/>
        <v>3985.55</v>
      </c>
    </row>
    <row r="9" spans="1:30" x14ac:dyDescent="0.3">
      <c r="A9" t="s">
        <v>9</v>
      </c>
      <c r="B9" t="s">
        <v>25</v>
      </c>
      <c r="C9" s="3">
        <v>10.9</v>
      </c>
      <c r="D9" s="7">
        <v>40</v>
      </c>
      <c r="E9" s="7">
        <v>39</v>
      </c>
      <c r="F9" s="7">
        <v>37</v>
      </c>
      <c r="G9" s="7">
        <v>43</v>
      </c>
      <c r="H9" s="7">
        <v>41</v>
      </c>
      <c r="I9" s="6">
        <f>IF(D9&gt;40,D9-40,0)</f>
        <v>0</v>
      </c>
      <c r="J9" s="6">
        <f>IF(E9&gt;40,E9-40,0)</f>
        <v>0</v>
      </c>
      <c r="K9" s="6">
        <f>IF(F9&gt;40,F9-40,0)</f>
        <v>0</v>
      </c>
      <c r="L9" s="6">
        <f>IF(G9&gt;40,G9-40,0)</f>
        <v>3</v>
      </c>
      <c r="M9" s="6">
        <f>IF(H9&gt;40,H9-40,0)</f>
        <v>1</v>
      </c>
      <c r="N9" s="8">
        <f>$C9*D9</f>
        <v>436</v>
      </c>
      <c r="O9" s="8">
        <f t="shared" si="8"/>
        <v>425.1</v>
      </c>
      <c r="P9" s="8">
        <f t="shared" si="5"/>
        <v>403.3</v>
      </c>
      <c r="Q9" s="8">
        <f t="shared" si="5"/>
        <v>468.7</v>
      </c>
      <c r="R9" s="8">
        <f t="shared" si="5"/>
        <v>446.90000000000003</v>
      </c>
      <c r="S9" s="9">
        <f>0.5*C9*I9</f>
        <v>0</v>
      </c>
      <c r="T9" s="9">
        <f>0.5*D9*J9</f>
        <v>0</v>
      </c>
      <c r="U9" s="9">
        <f t="shared" si="9"/>
        <v>0</v>
      </c>
      <c r="V9" s="9">
        <f t="shared" si="9"/>
        <v>55.5</v>
      </c>
      <c r="W9" s="9">
        <f t="shared" si="9"/>
        <v>21.5</v>
      </c>
      <c r="X9" s="10">
        <f>N9+S9</f>
        <v>436</v>
      </c>
      <c r="Y9" s="10">
        <f>O9+T9</f>
        <v>425.1</v>
      </c>
      <c r="Z9" s="10">
        <f t="shared" si="7"/>
        <v>403.3</v>
      </c>
      <c r="AA9" s="10">
        <f t="shared" si="7"/>
        <v>524.20000000000005</v>
      </c>
      <c r="AB9" s="10">
        <f t="shared" si="7"/>
        <v>468.40000000000003</v>
      </c>
      <c r="AD9" s="11">
        <f t="shared" si="10"/>
        <v>2257</v>
      </c>
    </row>
    <row r="10" spans="1:30" x14ac:dyDescent="0.3">
      <c r="A10" t="s">
        <v>10</v>
      </c>
      <c r="B10" t="s">
        <v>26</v>
      </c>
      <c r="C10" s="3">
        <v>14.15</v>
      </c>
      <c r="D10" s="7">
        <v>28</v>
      </c>
      <c r="E10" s="7">
        <v>36</v>
      </c>
      <c r="F10" s="7">
        <v>44</v>
      </c>
      <c r="G10" s="7">
        <v>41</v>
      </c>
      <c r="H10" s="7">
        <v>39</v>
      </c>
      <c r="I10" s="6">
        <f>IF(D10&gt;40,D10-40,0)</f>
        <v>0</v>
      </c>
      <c r="J10" s="6">
        <f>IF(E10&gt;40,E10-40,0)</f>
        <v>0</v>
      </c>
      <c r="K10" s="6">
        <f>IF(F10&gt;40,F10-40,0)</f>
        <v>4</v>
      </c>
      <c r="L10" s="6">
        <f>IF(G10&gt;40,G10-40,0)</f>
        <v>1</v>
      </c>
      <c r="M10" s="6">
        <f>IF(H10&gt;40,H10-40,0)</f>
        <v>0</v>
      </c>
      <c r="N10" s="8">
        <f>$C10*D10</f>
        <v>396.2</v>
      </c>
      <c r="O10" s="8">
        <f t="shared" si="8"/>
        <v>509.40000000000003</v>
      </c>
      <c r="P10" s="8">
        <f t="shared" si="5"/>
        <v>622.6</v>
      </c>
      <c r="Q10" s="8">
        <f t="shared" si="5"/>
        <v>580.15</v>
      </c>
      <c r="R10" s="8">
        <f t="shared" si="5"/>
        <v>551.85</v>
      </c>
      <c r="S10" s="9">
        <f>0.5*C10*I10</f>
        <v>0</v>
      </c>
      <c r="T10" s="9">
        <f>0.5*D10*J10</f>
        <v>0</v>
      </c>
      <c r="U10" s="9">
        <f t="shared" si="9"/>
        <v>72</v>
      </c>
      <c r="V10" s="9">
        <f t="shared" si="9"/>
        <v>22</v>
      </c>
      <c r="W10" s="9">
        <f t="shared" si="9"/>
        <v>0</v>
      </c>
      <c r="X10" s="10">
        <f>N10+S10</f>
        <v>396.2</v>
      </c>
      <c r="Y10" s="10">
        <f>O10+T10</f>
        <v>509.40000000000003</v>
      </c>
      <c r="Z10" s="10">
        <f t="shared" si="7"/>
        <v>694.6</v>
      </c>
      <c r="AA10" s="10">
        <f t="shared" si="7"/>
        <v>602.15</v>
      </c>
      <c r="AB10" s="10">
        <f t="shared" si="7"/>
        <v>551.85</v>
      </c>
      <c r="AD10" s="11">
        <f t="shared" si="10"/>
        <v>2754.2</v>
      </c>
    </row>
    <row r="11" spans="1:30" x14ac:dyDescent="0.3">
      <c r="A11" t="s">
        <v>11</v>
      </c>
      <c r="B11" t="s">
        <v>27</v>
      </c>
      <c r="C11" s="3">
        <v>18.25</v>
      </c>
      <c r="D11" s="7">
        <v>42</v>
      </c>
      <c r="E11" s="7">
        <v>18</v>
      </c>
      <c r="F11" s="7">
        <v>21</v>
      </c>
      <c r="G11" s="7">
        <v>37</v>
      </c>
      <c r="H11" s="7">
        <v>41</v>
      </c>
      <c r="I11" s="6">
        <f>IF(D11&gt;40,D11-40,0)</f>
        <v>2</v>
      </c>
      <c r="J11" s="6">
        <f>IF(E11&gt;40,E11-40,0)</f>
        <v>0</v>
      </c>
      <c r="K11" s="6">
        <f>IF(F11&gt;40,F11-40,0)</f>
        <v>0</v>
      </c>
      <c r="L11" s="6">
        <f>IF(G11&gt;40,G11-40,0)</f>
        <v>0</v>
      </c>
      <c r="M11" s="6">
        <f>IF(H11&gt;40,H11-40,0)</f>
        <v>1</v>
      </c>
      <c r="N11" s="8">
        <f>$C11*D11</f>
        <v>766.5</v>
      </c>
      <c r="O11" s="8">
        <f t="shared" si="8"/>
        <v>328.5</v>
      </c>
      <c r="P11" s="8">
        <f t="shared" si="5"/>
        <v>383.25</v>
      </c>
      <c r="Q11" s="8">
        <f t="shared" si="5"/>
        <v>675.25</v>
      </c>
      <c r="R11" s="8">
        <f t="shared" si="5"/>
        <v>748.25</v>
      </c>
      <c r="S11" s="9">
        <f>0.5*C11*I11</f>
        <v>18.25</v>
      </c>
      <c r="T11" s="9">
        <f>0.5*D11*J11</f>
        <v>0</v>
      </c>
      <c r="U11" s="9">
        <f t="shared" si="9"/>
        <v>0</v>
      </c>
      <c r="V11" s="9">
        <f t="shared" si="9"/>
        <v>0</v>
      </c>
      <c r="W11" s="9">
        <f t="shared" si="9"/>
        <v>18.5</v>
      </c>
      <c r="X11" s="10">
        <f>N11+S11</f>
        <v>784.75</v>
      </c>
      <c r="Y11" s="10">
        <f>O11+T11</f>
        <v>328.5</v>
      </c>
      <c r="Z11" s="10">
        <f t="shared" si="7"/>
        <v>383.25</v>
      </c>
      <c r="AA11" s="10">
        <f t="shared" si="7"/>
        <v>675.25</v>
      </c>
      <c r="AB11" s="10">
        <f t="shared" si="7"/>
        <v>766.75</v>
      </c>
      <c r="AD11" s="11">
        <f t="shared" si="10"/>
        <v>2938.5</v>
      </c>
    </row>
    <row r="12" spans="1:30" x14ac:dyDescent="0.3">
      <c r="A12" t="s">
        <v>12</v>
      </c>
      <c r="B12" t="s">
        <v>28</v>
      </c>
      <c r="C12" s="3">
        <v>19.5</v>
      </c>
      <c r="D12" s="7">
        <v>33</v>
      </c>
      <c r="E12" s="7">
        <v>44</v>
      </c>
      <c r="F12" s="7">
        <v>18</v>
      </c>
      <c r="G12" s="7">
        <v>39</v>
      </c>
      <c r="H12" s="7">
        <v>40</v>
      </c>
      <c r="I12" s="6">
        <f>IF(D12&gt;40,D12-40,0)</f>
        <v>0</v>
      </c>
      <c r="J12" s="6">
        <f>IF(E12&gt;40,E12-40,0)</f>
        <v>4</v>
      </c>
      <c r="K12" s="6">
        <f>IF(F12&gt;40,F12-40,0)</f>
        <v>0</v>
      </c>
      <c r="L12" s="6">
        <f>IF(G12&gt;40,G12-40,0)</f>
        <v>0</v>
      </c>
      <c r="M12" s="6">
        <f>IF(H12&gt;40,H12-40,0)</f>
        <v>0</v>
      </c>
      <c r="N12" s="8">
        <f>$C12*D12</f>
        <v>643.5</v>
      </c>
      <c r="O12" s="8">
        <f t="shared" si="8"/>
        <v>858</v>
      </c>
      <c r="P12" s="8">
        <f t="shared" si="5"/>
        <v>351</v>
      </c>
      <c r="Q12" s="8">
        <f t="shared" si="5"/>
        <v>760.5</v>
      </c>
      <c r="R12" s="8">
        <f t="shared" si="5"/>
        <v>780</v>
      </c>
      <c r="S12" s="9">
        <f>0.5*C12*I12</f>
        <v>0</v>
      </c>
      <c r="T12" s="9">
        <f>0.5*D12*J12</f>
        <v>66</v>
      </c>
      <c r="U12" s="9">
        <f t="shared" si="9"/>
        <v>0</v>
      </c>
      <c r="V12" s="9">
        <f t="shared" si="9"/>
        <v>0</v>
      </c>
      <c r="W12" s="9">
        <f t="shared" si="9"/>
        <v>0</v>
      </c>
      <c r="X12" s="10">
        <f>N12+S12</f>
        <v>643.5</v>
      </c>
      <c r="Y12" s="10">
        <f>O12+T12</f>
        <v>924</v>
      </c>
      <c r="Z12" s="10">
        <f t="shared" si="7"/>
        <v>351</v>
      </c>
      <c r="AA12" s="10">
        <f t="shared" si="7"/>
        <v>760.5</v>
      </c>
      <c r="AB12" s="10">
        <f t="shared" si="7"/>
        <v>780</v>
      </c>
      <c r="AD12" s="11">
        <f t="shared" si="10"/>
        <v>3459</v>
      </c>
    </row>
    <row r="13" spans="1:30" x14ac:dyDescent="0.3">
      <c r="A13" t="s">
        <v>13</v>
      </c>
      <c r="B13" t="s">
        <v>29</v>
      </c>
      <c r="C13" s="3">
        <v>13.4</v>
      </c>
      <c r="D13" s="7">
        <v>40</v>
      </c>
      <c r="E13" s="7">
        <v>38</v>
      </c>
      <c r="F13" s="7">
        <v>24</v>
      </c>
      <c r="G13" s="7">
        <v>41</v>
      </c>
      <c r="H13" s="7">
        <v>43</v>
      </c>
      <c r="I13" s="6">
        <f>IF(D13&gt;40,D13-40,0)</f>
        <v>0</v>
      </c>
      <c r="J13" s="6">
        <f>IF(E13&gt;40,E13-40,0)</f>
        <v>0</v>
      </c>
      <c r="K13" s="6">
        <f>IF(F13&gt;40,F13-40,0)</f>
        <v>0</v>
      </c>
      <c r="L13" s="6">
        <f>IF(G13&gt;40,G13-40,0)</f>
        <v>1</v>
      </c>
      <c r="M13" s="6">
        <f>IF(H13&gt;40,H13-40,0)</f>
        <v>3</v>
      </c>
      <c r="N13" s="8">
        <f>$C13*D13</f>
        <v>536</v>
      </c>
      <c r="O13" s="8">
        <f t="shared" si="8"/>
        <v>509.2</v>
      </c>
      <c r="P13" s="8">
        <f t="shared" si="5"/>
        <v>321.60000000000002</v>
      </c>
      <c r="Q13" s="8">
        <f t="shared" si="5"/>
        <v>549.4</v>
      </c>
      <c r="R13" s="8">
        <f t="shared" si="5"/>
        <v>576.20000000000005</v>
      </c>
      <c r="S13" s="9">
        <f>0.5*C13*I13</f>
        <v>0</v>
      </c>
      <c r="T13" s="9">
        <f>0.5*D13*J13</f>
        <v>0</v>
      </c>
      <c r="U13" s="9">
        <f t="shared" si="9"/>
        <v>0</v>
      </c>
      <c r="V13" s="9">
        <f t="shared" si="9"/>
        <v>12</v>
      </c>
      <c r="W13" s="9">
        <f t="shared" si="9"/>
        <v>61.5</v>
      </c>
      <c r="X13" s="10">
        <f>N13+S13</f>
        <v>536</v>
      </c>
      <c r="Y13" s="10">
        <f>O13+T13</f>
        <v>509.2</v>
      </c>
      <c r="Z13" s="10">
        <f t="shared" si="7"/>
        <v>321.60000000000002</v>
      </c>
      <c r="AA13" s="10">
        <f t="shared" si="7"/>
        <v>561.4</v>
      </c>
      <c r="AB13" s="10">
        <f t="shared" si="7"/>
        <v>637.70000000000005</v>
      </c>
      <c r="AD13" s="11">
        <f t="shared" si="10"/>
        <v>2565.9000000000005</v>
      </c>
    </row>
    <row r="14" spans="1:30" x14ac:dyDescent="0.3">
      <c r="A14" t="s">
        <v>14</v>
      </c>
      <c r="B14" t="s">
        <v>30</v>
      </c>
      <c r="C14" s="3">
        <v>11.27</v>
      </c>
      <c r="D14" s="7">
        <v>35</v>
      </c>
      <c r="E14" s="7">
        <v>45</v>
      </c>
      <c r="F14" s="7">
        <v>41</v>
      </c>
      <c r="G14" s="7">
        <v>36</v>
      </c>
      <c r="H14" s="7">
        <v>35</v>
      </c>
      <c r="I14" s="6">
        <f>IF(D14&gt;40,D14-40,0)</f>
        <v>0</v>
      </c>
      <c r="J14" s="6">
        <f>IF(E14&gt;40,E14-40,0)</f>
        <v>5</v>
      </c>
      <c r="K14" s="6">
        <f>IF(F14&gt;40,F14-40,0)</f>
        <v>1</v>
      </c>
      <c r="L14" s="6">
        <f>IF(G14&gt;40,G14-40,0)</f>
        <v>0</v>
      </c>
      <c r="M14" s="6">
        <f>IF(H14&gt;40,H14-40,0)</f>
        <v>0</v>
      </c>
      <c r="N14" s="8">
        <f>$C14*D14</f>
        <v>394.45</v>
      </c>
      <c r="O14" s="8">
        <f t="shared" si="8"/>
        <v>507.15</v>
      </c>
      <c r="P14" s="8">
        <f t="shared" si="5"/>
        <v>462.07</v>
      </c>
      <c r="Q14" s="8">
        <f t="shared" si="5"/>
        <v>405.71999999999997</v>
      </c>
      <c r="R14" s="8">
        <f t="shared" si="5"/>
        <v>394.45</v>
      </c>
      <c r="S14" s="9">
        <f>0.5*C14*I14</f>
        <v>0</v>
      </c>
      <c r="T14" s="9">
        <f>0.5*D14*J14</f>
        <v>87.5</v>
      </c>
      <c r="U14" s="9">
        <f t="shared" si="9"/>
        <v>22.5</v>
      </c>
      <c r="V14" s="9">
        <f t="shared" si="9"/>
        <v>0</v>
      </c>
      <c r="W14" s="9">
        <f t="shared" si="9"/>
        <v>0</v>
      </c>
      <c r="X14" s="10">
        <f>N14+S14</f>
        <v>394.45</v>
      </c>
      <c r="Y14" s="10">
        <f>O14+T14</f>
        <v>594.65</v>
      </c>
      <c r="Z14" s="10">
        <f t="shared" si="7"/>
        <v>484.57</v>
      </c>
      <c r="AA14" s="10">
        <f t="shared" si="7"/>
        <v>405.71999999999997</v>
      </c>
      <c r="AB14" s="10">
        <f t="shared" si="7"/>
        <v>394.45</v>
      </c>
      <c r="AD14" s="11">
        <f t="shared" si="10"/>
        <v>2273.8399999999997</v>
      </c>
    </row>
    <row r="15" spans="1:30" x14ac:dyDescent="0.3">
      <c r="A15" t="s">
        <v>15</v>
      </c>
      <c r="B15" t="s">
        <v>31</v>
      </c>
      <c r="C15" s="3">
        <v>12.55</v>
      </c>
      <c r="D15" s="7">
        <v>47</v>
      </c>
      <c r="E15" s="7">
        <v>39</v>
      </c>
      <c r="F15" s="7">
        <v>48</v>
      </c>
      <c r="G15" s="7">
        <v>46</v>
      </c>
      <c r="H15" s="7">
        <v>44</v>
      </c>
      <c r="I15" s="6">
        <f>IF(D15&gt;40,D15-40,0)</f>
        <v>7</v>
      </c>
      <c r="J15" s="6">
        <f>IF(E15&gt;40,E15-40,0)</f>
        <v>0</v>
      </c>
      <c r="K15" s="6">
        <f>IF(F15&gt;40,F15-40,0)</f>
        <v>8</v>
      </c>
      <c r="L15" s="6">
        <f>IF(G15&gt;40,G15-40,0)</f>
        <v>6</v>
      </c>
      <c r="M15" s="6">
        <f>IF(H15&gt;40,H15-40,0)</f>
        <v>4</v>
      </c>
      <c r="N15" s="8">
        <f>$C15*D15</f>
        <v>589.85</v>
      </c>
      <c r="O15" s="8">
        <f t="shared" si="8"/>
        <v>489.45000000000005</v>
      </c>
      <c r="P15" s="8">
        <f t="shared" si="5"/>
        <v>602.40000000000009</v>
      </c>
      <c r="Q15" s="8">
        <f t="shared" si="5"/>
        <v>577.30000000000007</v>
      </c>
      <c r="R15" s="8">
        <f t="shared" si="5"/>
        <v>552.20000000000005</v>
      </c>
      <c r="S15" s="9">
        <f>0.5*C15*I15</f>
        <v>43.925000000000004</v>
      </c>
      <c r="T15" s="9">
        <f>0.5*D15*J15</f>
        <v>0</v>
      </c>
      <c r="U15" s="9">
        <f t="shared" si="9"/>
        <v>156</v>
      </c>
      <c r="V15" s="9">
        <f t="shared" si="9"/>
        <v>144</v>
      </c>
      <c r="W15" s="9">
        <f t="shared" si="9"/>
        <v>92</v>
      </c>
      <c r="X15" s="10">
        <f>N15+S15</f>
        <v>633.77499999999998</v>
      </c>
      <c r="Y15" s="10">
        <f>O15+T15</f>
        <v>489.45000000000005</v>
      </c>
      <c r="Z15" s="10">
        <f t="shared" si="7"/>
        <v>758.40000000000009</v>
      </c>
      <c r="AA15" s="10">
        <f t="shared" si="7"/>
        <v>721.30000000000007</v>
      </c>
      <c r="AB15" s="10">
        <f t="shared" si="7"/>
        <v>644.20000000000005</v>
      </c>
      <c r="AD15" s="11">
        <f t="shared" si="10"/>
        <v>3247.125</v>
      </c>
    </row>
    <row r="16" spans="1:30" x14ac:dyDescent="0.3">
      <c r="A16" t="s">
        <v>16</v>
      </c>
      <c r="B16" t="s">
        <v>32</v>
      </c>
      <c r="C16" s="3">
        <v>18.440000000000001</v>
      </c>
      <c r="D16" s="7">
        <v>41</v>
      </c>
      <c r="E16" s="7">
        <v>40</v>
      </c>
      <c r="F16" s="7">
        <v>33</v>
      </c>
      <c r="G16" s="7">
        <v>35</v>
      </c>
      <c r="H16" s="7">
        <v>48</v>
      </c>
      <c r="I16" s="6">
        <f>IF(D16&gt;40,D16-40,0)</f>
        <v>1</v>
      </c>
      <c r="J16" s="6">
        <f>IF(E16&gt;40,E16-40,0)</f>
        <v>0</v>
      </c>
      <c r="K16" s="6">
        <f>IF(F16&gt;40,F16-40,0)</f>
        <v>0</v>
      </c>
      <c r="L16" s="6">
        <f>IF(G16&gt;40,G16-40,0)</f>
        <v>0</v>
      </c>
      <c r="M16" s="6">
        <f>IF(H16&gt;40,H16-40,0)</f>
        <v>8</v>
      </c>
      <c r="N16" s="8">
        <f>$C16*D16</f>
        <v>756.04000000000008</v>
      </c>
      <c r="O16" s="8">
        <f t="shared" si="8"/>
        <v>737.6</v>
      </c>
      <c r="P16" s="8">
        <f t="shared" si="5"/>
        <v>608.5200000000001</v>
      </c>
      <c r="Q16" s="8">
        <f t="shared" si="5"/>
        <v>645.40000000000009</v>
      </c>
      <c r="R16" s="8">
        <f t="shared" si="5"/>
        <v>885.12000000000012</v>
      </c>
      <c r="S16" s="9">
        <f>0.5*C16*I16</f>
        <v>9.2200000000000006</v>
      </c>
      <c r="T16" s="9">
        <f>0.5*D16*J16</f>
        <v>0</v>
      </c>
      <c r="U16" s="9">
        <f t="shared" si="9"/>
        <v>0</v>
      </c>
      <c r="V16" s="9">
        <f t="shared" si="9"/>
        <v>0</v>
      </c>
      <c r="W16" s="9">
        <f t="shared" si="9"/>
        <v>140</v>
      </c>
      <c r="X16" s="10">
        <f>N16+S16</f>
        <v>765.2600000000001</v>
      </c>
      <c r="Y16" s="10">
        <f>O16+T16</f>
        <v>737.6</v>
      </c>
      <c r="Z16" s="10">
        <f t="shared" si="7"/>
        <v>608.5200000000001</v>
      </c>
      <c r="AA16" s="10">
        <f t="shared" si="7"/>
        <v>645.40000000000009</v>
      </c>
      <c r="AB16" s="10">
        <f t="shared" si="7"/>
        <v>1025.1200000000001</v>
      </c>
      <c r="AD16" s="11">
        <f t="shared" si="10"/>
        <v>3781.9000000000005</v>
      </c>
    </row>
    <row r="17" spans="1:30" x14ac:dyDescent="0.3">
      <c r="A17" t="s">
        <v>17</v>
      </c>
      <c r="B17" t="s">
        <v>33</v>
      </c>
      <c r="C17" s="3">
        <v>17.2</v>
      </c>
      <c r="D17" s="7">
        <v>36</v>
      </c>
      <c r="E17" s="7">
        <v>41</v>
      </c>
      <c r="F17" s="7">
        <v>51</v>
      </c>
      <c r="G17" s="7">
        <v>33</v>
      </c>
      <c r="H17" s="7">
        <v>37</v>
      </c>
      <c r="I17" s="6">
        <f>IF(D17&gt;40,D17-40,0)</f>
        <v>0</v>
      </c>
      <c r="J17" s="6">
        <f>IF(E17&gt;40,E17-40,0)</f>
        <v>1</v>
      </c>
      <c r="K17" s="6">
        <f>IF(F17&gt;40,F17-40,0)</f>
        <v>11</v>
      </c>
      <c r="L17" s="6">
        <f>IF(G17&gt;40,G17-40,0)</f>
        <v>0</v>
      </c>
      <c r="M17" s="6">
        <f>IF(H17&gt;40,H17-40,0)</f>
        <v>0</v>
      </c>
      <c r="N17" s="8">
        <f>$C17*D17</f>
        <v>619.19999999999993</v>
      </c>
      <c r="O17" s="8">
        <f t="shared" si="8"/>
        <v>705.19999999999993</v>
      </c>
      <c r="P17" s="8">
        <f t="shared" si="5"/>
        <v>877.19999999999993</v>
      </c>
      <c r="Q17" s="8">
        <f t="shared" si="5"/>
        <v>567.6</v>
      </c>
      <c r="R17" s="8">
        <f t="shared" si="5"/>
        <v>636.4</v>
      </c>
      <c r="S17" s="9">
        <f>0.5*C17*I17</f>
        <v>0</v>
      </c>
      <c r="T17" s="9">
        <f>0.5*D17*J17</f>
        <v>18</v>
      </c>
      <c r="U17" s="9">
        <f t="shared" si="9"/>
        <v>225.5</v>
      </c>
      <c r="V17" s="9">
        <f t="shared" si="9"/>
        <v>0</v>
      </c>
      <c r="W17" s="9">
        <f t="shared" si="9"/>
        <v>0</v>
      </c>
      <c r="X17" s="10">
        <f>N17+S17</f>
        <v>619.19999999999993</v>
      </c>
      <c r="Y17" s="10">
        <f>O17+T17</f>
        <v>723.19999999999993</v>
      </c>
      <c r="Z17" s="10">
        <f t="shared" si="7"/>
        <v>1102.6999999999998</v>
      </c>
      <c r="AA17" s="10">
        <f t="shared" si="7"/>
        <v>567.6</v>
      </c>
      <c r="AB17" s="10">
        <f t="shared" si="7"/>
        <v>636.4</v>
      </c>
      <c r="AD17" s="11">
        <f t="shared" si="10"/>
        <v>3649.0999999999995</v>
      </c>
    </row>
    <row r="18" spans="1:30" x14ac:dyDescent="0.3">
      <c r="A18" t="s">
        <v>18</v>
      </c>
      <c r="B18" t="s">
        <v>34</v>
      </c>
      <c r="C18" s="3">
        <v>48.5</v>
      </c>
      <c r="D18" s="7">
        <v>48</v>
      </c>
      <c r="E18" s="7">
        <v>38</v>
      </c>
      <c r="F18" s="7">
        <v>40</v>
      </c>
      <c r="G18" s="7">
        <v>25</v>
      </c>
      <c r="H18" s="7">
        <v>40</v>
      </c>
      <c r="I18" s="6">
        <f>IF(D18&gt;40,D18-40,0)</f>
        <v>8</v>
      </c>
      <c r="J18" s="6">
        <f>IF(E18&gt;40,E18-40,0)</f>
        <v>0</v>
      </c>
      <c r="K18" s="6">
        <f>IF(F18&gt;40,F18-40,0)</f>
        <v>0</v>
      </c>
      <c r="L18" s="6">
        <f>IF(G18&gt;40,G18-40,0)</f>
        <v>0</v>
      </c>
      <c r="M18" s="6">
        <f>IF(H18&gt;40,H18-40,0)</f>
        <v>0</v>
      </c>
      <c r="N18" s="8">
        <f>$C18*D18</f>
        <v>2328</v>
      </c>
      <c r="O18" s="8">
        <f t="shared" si="8"/>
        <v>1843</v>
      </c>
      <c r="P18" s="8">
        <f t="shared" si="5"/>
        <v>1940</v>
      </c>
      <c r="Q18" s="8">
        <f t="shared" si="5"/>
        <v>1212.5</v>
      </c>
      <c r="R18" s="8">
        <f t="shared" si="5"/>
        <v>1940</v>
      </c>
      <c r="S18" s="9">
        <f>0.5*C18*I18</f>
        <v>194</v>
      </c>
      <c r="T18" s="9">
        <f>0.5*D18*J18</f>
        <v>0</v>
      </c>
      <c r="U18" s="9">
        <f t="shared" si="9"/>
        <v>0</v>
      </c>
      <c r="V18" s="9">
        <f t="shared" si="9"/>
        <v>0</v>
      </c>
      <c r="W18" s="9">
        <f t="shared" si="9"/>
        <v>0</v>
      </c>
      <c r="X18" s="10">
        <f>N18+S18</f>
        <v>2522</v>
      </c>
      <c r="Y18" s="10">
        <f>O18+T18</f>
        <v>1843</v>
      </c>
      <c r="Z18" s="10">
        <f t="shared" si="7"/>
        <v>1940</v>
      </c>
      <c r="AA18" s="10">
        <f t="shared" si="7"/>
        <v>1212.5</v>
      </c>
      <c r="AB18" s="10">
        <f t="shared" si="7"/>
        <v>1940</v>
      </c>
      <c r="AD18" s="11">
        <f t="shared" si="10"/>
        <v>9457.5</v>
      </c>
    </row>
    <row r="19" spans="1:30" x14ac:dyDescent="0.3">
      <c r="A19" t="s">
        <v>19</v>
      </c>
      <c r="B19" t="s">
        <v>35</v>
      </c>
      <c r="C19" s="3">
        <v>32.5</v>
      </c>
      <c r="D19" s="7">
        <v>25</v>
      </c>
      <c r="E19" s="7">
        <v>44</v>
      </c>
      <c r="F19" s="7">
        <v>47</v>
      </c>
      <c r="G19" s="7">
        <v>35</v>
      </c>
      <c r="H19" s="7">
        <v>32</v>
      </c>
      <c r="I19" s="6">
        <f>IF(D19&gt;40,D19-40,0)</f>
        <v>0</v>
      </c>
      <c r="J19" s="6">
        <f>IF(E19&gt;40,E19-40,0)</f>
        <v>4</v>
      </c>
      <c r="K19" s="6">
        <f>IF(F19&gt;40,F19-40,0)</f>
        <v>7</v>
      </c>
      <c r="L19" s="6">
        <f>IF(G19&gt;40,G19-40,0)</f>
        <v>0</v>
      </c>
      <c r="M19" s="6">
        <f>IF(H19&gt;40,H19-40,0)</f>
        <v>0</v>
      </c>
      <c r="N19" s="8">
        <f>$C19*D19</f>
        <v>812.5</v>
      </c>
      <c r="O19" s="8">
        <f t="shared" si="8"/>
        <v>1430</v>
      </c>
      <c r="P19" s="8">
        <f t="shared" si="5"/>
        <v>1527.5</v>
      </c>
      <c r="Q19" s="8">
        <f t="shared" si="5"/>
        <v>1137.5</v>
      </c>
      <c r="R19" s="8">
        <f t="shared" si="5"/>
        <v>1040</v>
      </c>
      <c r="S19" s="9">
        <f>0.5*C19*I19</f>
        <v>0</v>
      </c>
      <c r="T19" s="9">
        <f>0.5*D19*J19</f>
        <v>50</v>
      </c>
      <c r="U19" s="9">
        <f t="shared" si="9"/>
        <v>154</v>
      </c>
      <c r="V19" s="9">
        <f t="shared" si="9"/>
        <v>0</v>
      </c>
      <c r="W19" s="9">
        <f t="shared" si="9"/>
        <v>0</v>
      </c>
      <c r="X19" s="10">
        <f>N19+S19</f>
        <v>812.5</v>
      </c>
      <c r="Y19" s="10">
        <f>O19+T19</f>
        <v>1480</v>
      </c>
      <c r="Z19" s="10">
        <f t="shared" si="7"/>
        <v>1681.5</v>
      </c>
      <c r="AA19" s="10">
        <f t="shared" si="7"/>
        <v>1137.5</v>
      </c>
      <c r="AB19" s="10">
        <f t="shared" si="7"/>
        <v>1040</v>
      </c>
      <c r="AD19" s="11">
        <f t="shared" si="10"/>
        <v>6151.5</v>
      </c>
    </row>
    <row r="23" spans="1:30" x14ac:dyDescent="0.3">
      <c r="A23" t="s">
        <v>36</v>
      </c>
      <c r="C23" s="4">
        <f>MAX(C4:C19)</f>
        <v>48.5</v>
      </c>
      <c r="D23" s="5">
        <f>MAX(D4:D19)</f>
        <v>48</v>
      </c>
      <c r="E23" s="5"/>
      <c r="F23" s="5"/>
      <c r="G23" s="5"/>
      <c r="H23" s="5"/>
      <c r="I23" s="5"/>
      <c r="J23" s="5"/>
      <c r="K23" s="5"/>
      <c r="L23" s="5"/>
      <c r="M23" s="5"/>
      <c r="N23" s="3">
        <f>MAX(N4:N19)</f>
        <v>2328</v>
      </c>
      <c r="O23" s="3">
        <f t="shared" ref="O23:S23" si="11">MAX(O4:O19)</f>
        <v>1843</v>
      </c>
      <c r="P23" s="3">
        <f t="shared" si="11"/>
        <v>1940</v>
      </c>
      <c r="Q23" s="3">
        <f t="shared" si="11"/>
        <v>1212.5</v>
      </c>
      <c r="R23" s="3">
        <f t="shared" si="11"/>
        <v>1940</v>
      </c>
      <c r="S23" s="3">
        <f t="shared" si="11"/>
        <v>194</v>
      </c>
      <c r="T23" s="3">
        <f>MAX(T4:T19)</f>
        <v>87.5</v>
      </c>
      <c r="U23" s="3">
        <f t="shared" ref="U23:W23" si="12">MAX(U4:U19)</f>
        <v>225.5</v>
      </c>
      <c r="V23" s="3">
        <f t="shared" si="12"/>
        <v>144</v>
      </c>
      <c r="W23" s="3">
        <f t="shared" si="12"/>
        <v>140</v>
      </c>
      <c r="X23" s="3">
        <f>MAX(X4:X19)</f>
        <v>2522</v>
      </c>
      <c r="Y23" s="3">
        <f t="shared" ref="Y23:AB23" si="13">MAX(Y4:Y19)</f>
        <v>1843</v>
      </c>
      <c r="Z23" s="3">
        <f t="shared" si="13"/>
        <v>1940</v>
      </c>
      <c r="AA23" s="3">
        <f t="shared" si="13"/>
        <v>1212.5</v>
      </c>
      <c r="AB23" s="3">
        <f t="shared" si="13"/>
        <v>1940</v>
      </c>
      <c r="AD23" s="3">
        <f t="shared" ref="AD23" si="14">MAX(AD4:AD19)</f>
        <v>9457.5</v>
      </c>
    </row>
    <row r="24" spans="1:30" x14ac:dyDescent="0.3">
      <c r="A24" t="s">
        <v>37</v>
      </c>
      <c r="C24" s="4">
        <f>MIN(C4:C19)</f>
        <v>10.9</v>
      </c>
      <c r="D24" s="5">
        <f>MIN(D4:D19)</f>
        <v>25</v>
      </c>
      <c r="E24" s="5"/>
      <c r="F24" s="5"/>
      <c r="G24" s="5"/>
      <c r="H24" s="5"/>
      <c r="I24" s="5"/>
      <c r="J24" s="5"/>
      <c r="K24" s="5"/>
      <c r="L24" s="5"/>
      <c r="M24" s="5"/>
      <c r="N24" s="3">
        <f>MIN(N4:N19)</f>
        <v>394.45</v>
      </c>
      <c r="O24" s="3">
        <f t="shared" ref="O24:S24" si="15">MIN(O4:O19)</f>
        <v>276.3</v>
      </c>
      <c r="P24" s="3">
        <f t="shared" si="15"/>
        <v>307</v>
      </c>
      <c r="Q24" s="3">
        <f t="shared" si="15"/>
        <v>405.71999999999997</v>
      </c>
      <c r="R24" s="3">
        <f t="shared" si="15"/>
        <v>394.45</v>
      </c>
      <c r="S24" s="3">
        <f t="shared" si="15"/>
        <v>0</v>
      </c>
      <c r="T24" s="3">
        <f>MIN(T4:T19)</f>
        <v>0</v>
      </c>
      <c r="U24" s="3">
        <f t="shared" ref="U24:W24" si="16">MIN(U4:U19)</f>
        <v>0</v>
      </c>
      <c r="V24" s="3">
        <f t="shared" si="16"/>
        <v>0</v>
      </c>
      <c r="W24" s="3">
        <f t="shared" si="16"/>
        <v>0</v>
      </c>
      <c r="X24" s="3">
        <f>MIN(X4:X19)</f>
        <v>394.45</v>
      </c>
      <c r="Y24" s="3">
        <f t="shared" ref="Y24:AB24" si="17">MIN(Y4:Y19)</f>
        <v>276.3</v>
      </c>
      <c r="Z24" s="3">
        <f t="shared" si="17"/>
        <v>307</v>
      </c>
      <c r="AA24" s="3">
        <f t="shared" si="17"/>
        <v>405.71999999999997</v>
      </c>
      <c r="AB24" s="3">
        <f t="shared" si="17"/>
        <v>394.45</v>
      </c>
      <c r="AD24" s="3">
        <f t="shared" ref="AD24" si="18">MIN(AD4:AD19)</f>
        <v>2257</v>
      </c>
    </row>
    <row r="25" spans="1:30" x14ac:dyDescent="0.3">
      <c r="A25" t="s">
        <v>38</v>
      </c>
      <c r="C25" s="4">
        <f>AVERAGE(C4:C19)</f>
        <v>18.919375000000002</v>
      </c>
      <c r="D25" s="5">
        <f>AVERAGE(D4:D19)</f>
        <v>37.75</v>
      </c>
      <c r="E25" s="5"/>
      <c r="F25" s="5"/>
      <c r="G25" s="5"/>
      <c r="H25" s="5"/>
      <c r="I25" s="5"/>
      <c r="J25" s="5"/>
      <c r="K25" s="5"/>
      <c r="L25" s="5"/>
      <c r="M25" s="5"/>
      <c r="N25" s="3">
        <f>AVERAGE(N4:N19)</f>
        <v>714.84312499999999</v>
      </c>
      <c r="O25" s="3">
        <f t="shared" ref="O25:S25" si="19">AVERAGE(O4:O19)</f>
        <v>700.75</v>
      </c>
      <c r="P25" s="3">
        <f t="shared" si="19"/>
        <v>704.59625000000005</v>
      </c>
      <c r="Q25" s="3">
        <f t="shared" si="19"/>
        <v>683.354375</v>
      </c>
      <c r="R25" s="3">
        <f t="shared" si="19"/>
        <v>761.06687499999998</v>
      </c>
      <c r="S25" s="3">
        <f t="shared" si="19"/>
        <v>20.540312499999999</v>
      </c>
      <c r="T25" s="3">
        <f>AVERAGE(T4:T19)</f>
        <v>22.425000000000001</v>
      </c>
      <c r="U25" s="3">
        <f t="shared" ref="U25:W25" si="20">AVERAGE(U4:U19)</f>
        <v>48.6875</v>
      </c>
      <c r="V25" s="3">
        <f t="shared" si="20"/>
        <v>17.78125</v>
      </c>
      <c r="W25" s="3">
        <f t="shared" si="20"/>
        <v>32.225000000000001</v>
      </c>
      <c r="X25" s="3">
        <f>AVERAGE(X4:X19)</f>
        <v>735.38343750000001</v>
      </c>
      <c r="Y25" s="3">
        <f t="shared" ref="Y25:AB25" si="21">AVERAGE(Y4:Y19)</f>
        <v>723.17499999999995</v>
      </c>
      <c r="Z25" s="3">
        <f t="shared" si="21"/>
        <v>753.28375000000005</v>
      </c>
      <c r="AA25" s="3">
        <f t="shared" si="21"/>
        <v>701.135625</v>
      </c>
      <c r="AB25" s="3">
        <f t="shared" si="21"/>
        <v>793.291875</v>
      </c>
      <c r="AD25" s="3">
        <f t="shared" ref="AD25" si="22">AVERAGE(AD4:AD19)</f>
        <v>3706.2696875000001</v>
      </c>
    </row>
    <row r="26" spans="1:30" x14ac:dyDescent="0.3">
      <c r="A26" t="s">
        <v>39</v>
      </c>
      <c r="C26" s="4"/>
      <c r="D26">
        <f>SUM(D4:D19)</f>
        <v>604</v>
      </c>
      <c r="N26" s="3">
        <f>SUM(N4:N19)</f>
        <v>11437.49</v>
      </c>
      <c r="O26" s="3">
        <f t="shared" ref="O26:S26" si="23">SUM(O4:O19)</f>
        <v>11212</v>
      </c>
      <c r="P26" s="3">
        <f t="shared" si="23"/>
        <v>11273.54</v>
      </c>
      <c r="Q26" s="3">
        <f t="shared" si="23"/>
        <v>10933.67</v>
      </c>
      <c r="R26" s="3">
        <f t="shared" si="23"/>
        <v>12177.07</v>
      </c>
      <c r="S26" s="3">
        <f t="shared" si="23"/>
        <v>328.64499999999998</v>
      </c>
      <c r="T26" s="3">
        <f>SUM(T4:T19)</f>
        <v>358.8</v>
      </c>
      <c r="U26" s="3">
        <f t="shared" ref="U26:W26" si="24">SUM(U4:U19)</f>
        <v>779</v>
      </c>
      <c r="V26" s="3">
        <f t="shared" si="24"/>
        <v>284.5</v>
      </c>
      <c r="W26" s="3">
        <f t="shared" si="24"/>
        <v>515.6</v>
      </c>
      <c r="X26" s="3">
        <f>SUM(X4:X19)</f>
        <v>11766.135</v>
      </c>
      <c r="Y26" s="3">
        <f t="shared" ref="Y26:AB26" si="25">SUM(Y4:Y19)</f>
        <v>11570.8</v>
      </c>
      <c r="Z26" s="3">
        <f t="shared" si="25"/>
        <v>12052.54</v>
      </c>
      <c r="AA26" s="3">
        <f t="shared" si="25"/>
        <v>11218.17</v>
      </c>
      <c r="AB26" s="3">
        <f t="shared" si="25"/>
        <v>12692.67</v>
      </c>
      <c r="AD26" s="3">
        <f t="shared" ref="AD26" si="26">SUM(AD4:AD19)</f>
        <v>59300.315000000002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BD98898D82554E86949D3D9FEFC63C" ma:contentTypeVersion="6" ma:contentTypeDescription="Create a new document." ma:contentTypeScope="" ma:versionID="73269f7556571ef95e50c7c30b0121a4">
  <xsd:schema xmlns:xsd="http://www.w3.org/2001/XMLSchema" xmlns:xs="http://www.w3.org/2001/XMLSchema" xmlns:p="http://schemas.microsoft.com/office/2006/metadata/properties" xmlns:ns3="12fb1617-9f9a-45b5-bc42-a1079b042b1e" targetNamespace="http://schemas.microsoft.com/office/2006/metadata/properties" ma:root="true" ma:fieldsID="a339d8dbca6796a8fdfa798e4abdcee8" ns3:_="">
    <xsd:import namespace="12fb1617-9f9a-45b5-bc42-a1079b042b1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b1617-9f9a-45b5-bc42-a1079b042b1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fb1617-9f9a-45b5-bc42-a1079b042b1e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04513A8-28B2-4A4B-AA0E-3277F9CD9B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fb1617-9f9a-45b5-bc42-a1079b042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3C0F32-0E7C-4216-AD43-88528FC781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5AF8C4-A1AA-4A94-B9A7-F8B6E0FAECAF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12fb1617-9f9a-45b5-bc42-a1079b042b1e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DCB65E0-52A6-4353-8949-9707E99A14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Keisha McGruder</dc:creator>
  <cp:lastModifiedBy>Keisha McGruder</cp:lastModifiedBy>
  <dcterms:created xsi:type="dcterms:W3CDTF">2025-10-28T01:32:12Z</dcterms:created>
  <dcterms:modified xsi:type="dcterms:W3CDTF">2025-11-05T17:02:39Z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0x01010040BD98898D82554E86949D3D9FEFC63C</vt:lpwstr>
  </property>
</Properties>
</file>